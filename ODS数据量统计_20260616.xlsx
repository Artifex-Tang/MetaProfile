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领域汇总" sheetId="1" state="visible" r:id="rId1"/>
    <sheet xmlns:r="http://schemas.openxmlformats.org/officeDocument/2006/relationships"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family val="2"/>
      <color theme="1"/>
      <sz val="11"/>
      <scheme val="minor"/>
    </font>
    <font>
      <name val="Arial"/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right"/>
    </xf>
    <xf numFmtId="164" fontId="3" fillId="2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3" fontId="3" fillId="4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6" fillId="0" borderId="0" pivotButton="0" quotePrefix="0" xfId="0"/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14" customWidth="1" min="9" max="9"/>
  </cols>
  <sheetData>
    <row r="1">
      <c r="A1" s="1" t="inlineStr">
        <is>
          <t>ods_zbzx 数据量统计</t>
        </is>
      </c>
    </row>
    <row r="2">
      <c r="A2" s="2" t="inlineStr">
        <is>
          <t>数据源: Doris 10.242.0.1:9030  账号: gz_kt5  统计日期: 2026-06-16  (行数来自 information_schema.table_rows，压缩段大小 data_length)</t>
        </is>
      </c>
    </row>
    <row r="4">
      <c r="A4" s="3" t="inlineStr">
        <is>
          <t>领域</t>
        </is>
      </c>
      <c r="B4" s="4" t="inlineStr">
        <is>
          <t>主表行数</t>
        </is>
      </c>
      <c r="C4" s="5" t="inlineStr">
        <is>
          <t>主表(MB)</t>
        </is>
      </c>
      <c r="D4" s="4" t="inlineStr">
        <is>
          <t>附件行数</t>
        </is>
      </c>
      <c r="E4" s="5" t="inlineStr">
        <is>
          <t>附件(MB)</t>
        </is>
      </c>
      <c r="F4" s="4" t="inlineStr">
        <is>
          <t>海外行数</t>
        </is>
      </c>
      <c r="G4" s="5" t="inlineStr">
        <is>
          <t>海外(MB)</t>
        </is>
      </c>
      <c r="H4" s="4" t="inlineStr">
        <is>
          <t>合计行数</t>
        </is>
      </c>
      <c r="I4" s="5" t="inlineStr">
        <is>
          <t>合计(MB)</t>
        </is>
      </c>
    </row>
    <row r="5">
      <c r="A5" s="6" t="inlineStr">
        <is>
          <t>science_literature 科技文献</t>
        </is>
      </c>
      <c r="B5" s="7" t="n">
        <v>6851378</v>
      </c>
      <c r="C5" s="8" t="n">
        <v>23553</v>
      </c>
      <c r="D5" s="7" t="n">
        <v>3456246</v>
      </c>
      <c r="E5" s="8" t="n">
        <v>437217.8</v>
      </c>
      <c r="F5" s="7" t="n">
        <v>0</v>
      </c>
      <c r="G5" s="8" t="n">
        <v>0</v>
      </c>
      <c r="H5" s="7">
        <f>B5+D5+F5</f>
        <v/>
      </c>
      <c r="I5" s="8">
        <f>C5+E5+G5</f>
        <v/>
      </c>
    </row>
    <row r="6">
      <c r="A6" s="9" t="inlineStr">
        <is>
          <t>industry_report 行业报告</t>
        </is>
      </c>
      <c r="B6" s="10" t="n">
        <v>1902831</v>
      </c>
      <c r="C6" s="11" t="n">
        <v>5942.8</v>
      </c>
      <c r="D6" s="10" t="n">
        <v>804210</v>
      </c>
      <c r="E6" s="11" t="n">
        <v>47151</v>
      </c>
      <c r="F6" s="10" t="n">
        <v>0</v>
      </c>
      <c r="G6" s="11" t="n">
        <v>0</v>
      </c>
      <c r="H6" s="10">
        <f>B6+D6+F6</f>
        <v/>
      </c>
      <c r="I6" s="11">
        <f>C6+E6+G6</f>
        <v/>
      </c>
    </row>
    <row r="7">
      <c r="A7" s="6" t="inlineStr">
        <is>
          <t>talent_info 人才</t>
        </is>
      </c>
      <c r="B7" s="7" t="n">
        <v>11068</v>
      </c>
      <c r="C7" s="8" t="n">
        <v>24.8</v>
      </c>
      <c r="D7" s="7" t="n">
        <v>11068</v>
      </c>
      <c r="E7" s="8" t="n">
        <v>186.8</v>
      </c>
      <c r="F7" s="7" t="n">
        <v>0</v>
      </c>
      <c r="G7" s="8" t="n">
        <v>0</v>
      </c>
      <c r="H7" s="7">
        <f>B7+D7+F7</f>
        <v/>
      </c>
      <c r="I7" s="8">
        <f>C7+E7+G7</f>
        <v/>
      </c>
    </row>
    <row r="8">
      <c r="A8" s="9" t="inlineStr">
        <is>
          <t>market_analysis 市场分析</t>
        </is>
      </c>
      <c r="B8" s="10" t="n">
        <v>36377140</v>
      </c>
      <c r="C8" s="11" t="n">
        <v>41960.3</v>
      </c>
      <c r="D8" s="10" t="n">
        <v>24033933</v>
      </c>
      <c r="E8" s="11" t="n">
        <v>501444.2</v>
      </c>
      <c r="F8" s="10" t="n">
        <v>0</v>
      </c>
      <c r="G8" s="11" t="n">
        <v>0</v>
      </c>
      <c r="H8" s="10">
        <f>B8+D8+F8</f>
        <v/>
      </c>
      <c r="I8" s="11">
        <f>C8+E8+G8</f>
        <v/>
      </c>
    </row>
    <row r="9">
      <c r="A9" s="6" t="inlineStr">
        <is>
          <t>financial_info 财经</t>
        </is>
      </c>
      <c r="B9" s="7" t="n">
        <v>881723</v>
      </c>
      <c r="C9" s="8" t="n">
        <v>896.8</v>
      </c>
      <c r="D9" s="7" t="n">
        <v>881723</v>
      </c>
      <c r="E9" s="8" t="n">
        <v>10688.8</v>
      </c>
      <c r="F9" s="7" t="n">
        <v>0</v>
      </c>
      <c r="G9" s="8" t="n">
        <v>0</v>
      </c>
      <c r="H9" s="7">
        <f>B9+D9+F9</f>
        <v/>
      </c>
      <c r="I9" s="8">
        <f>C9+E9+G9</f>
        <v/>
      </c>
    </row>
    <row r="10">
      <c r="A10" s="9" t="inlineStr">
        <is>
          <t>international_news 国际新闻</t>
        </is>
      </c>
      <c r="B10" s="10" t="n">
        <v>1835719</v>
      </c>
      <c r="C10" s="11" t="n">
        <v>2577.9</v>
      </c>
      <c r="D10" s="10" t="n">
        <v>1544471</v>
      </c>
      <c r="E10" s="11" t="n">
        <v>53580.9</v>
      </c>
      <c r="F10" s="10" t="n">
        <v>0</v>
      </c>
      <c r="G10" s="11" t="n">
        <v>0</v>
      </c>
      <c r="H10" s="10">
        <f>B10+D10+F10</f>
        <v/>
      </c>
      <c r="I10" s="11">
        <f>C10+E10+G10</f>
        <v/>
      </c>
    </row>
    <row r="11">
      <c r="A11" s="6" t="inlineStr">
        <is>
          <t>invention_patent 发明专利</t>
        </is>
      </c>
      <c r="B11" s="7" t="n">
        <v>29471747</v>
      </c>
      <c r="C11" s="8" t="n">
        <v>49507.2</v>
      </c>
      <c r="D11" s="7" t="n">
        <v>448311</v>
      </c>
      <c r="E11" s="8" t="n">
        <v>9915.9</v>
      </c>
      <c r="F11" s="7" t="n">
        <v>0</v>
      </c>
      <c r="G11" s="8" t="n">
        <v>0</v>
      </c>
      <c r="H11" s="7">
        <f>B11+D11+F11</f>
        <v/>
      </c>
      <c r="I11" s="8">
        <f>C11+E11+G11</f>
        <v/>
      </c>
    </row>
    <row r="12">
      <c r="A12" s="9" t="inlineStr">
        <is>
          <t>strategic_policy 战略政策</t>
        </is>
      </c>
      <c r="B12" s="10" t="n">
        <v>3814383</v>
      </c>
      <c r="C12" s="11" t="n">
        <v>1543.6</v>
      </c>
      <c r="D12" s="10" t="n">
        <v>3791094</v>
      </c>
      <c r="E12" s="11" t="n">
        <v>72232</v>
      </c>
      <c r="F12" s="10" t="n">
        <v>0</v>
      </c>
      <c r="G12" s="11" t="n">
        <v>0</v>
      </c>
      <c r="H12" s="10">
        <f>B12+D12+F12</f>
        <v/>
      </c>
      <c r="I12" s="11">
        <f>C12+E12+G12</f>
        <v/>
      </c>
    </row>
    <row r="13">
      <c r="A13" s="6" t="inlineStr">
        <is>
          <t>key_events 重大事件</t>
        </is>
      </c>
      <c r="B13" s="7" t="n">
        <v>6711</v>
      </c>
      <c r="C13" s="8" t="n">
        <v>7.5</v>
      </c>
      <c r="D13" s="7" t="n">
        <v>6711</v>
      </c>
      <c r="E13" s="8" t="n">
        <v>125.9</v>
      </c>
      <c r="F13" s="7" t="n">
        <v>0</v>
      </c>
      <c r="G13" s="8" t="n">
        <v>0</v>
      </c>
      <c r="H13" s="7">
        <f>B13+D13+F13</f>
        <v/>
      </c>
      <c r="I13" s="8">
        <f>C13+E13+G13</f>
        <v/>
      </c>
    </row>
    <row r="14">
      <c r="A14" s="9" t="inlineStr">
        <is>
          <t>company_basic_info 公司基础</t>
        </is>
      </c>
      <c r="B14" s="10" t="n">
        <v>429510416</v>
      </c>
      <c r="C14" s="11" t="n">
        <v>304622.2</v>
      </c>
      <c r="D14" s="10" t="n">
        <v>0</v>
      </c>
      <c r="E14" s="11" t="n">
        <v>0</v>
      </c>
      <c r="F14" s="10" t="n">
        <v>0</v>
      </c>
      <c r="G14" s="11" t="n">
        <v>0</v>
      </c>
      <c r="H14" s="10">
        <f>B14+D14+F14</f>
        <v/>
      </c>
      <c r="I14" s="11">
        <f>C14+E14+G14</f>
        <v/>
      </c>
    </row>
    <row r="15">
      <c r="A15" s="6" t="inlineStr">
        <is>
          <t>oversea_company_info 海外公司</t>
        </is>
      </c>
      <c r="B15" s="7" t="n">
        <v>234919</v>
      </c>
      <c r="C15" s="8" t="n">
        <v>128.2</v>
      </c>
      <c r="D15" s="7" t="n">
        <v>0</v>
      </c>
      <c r="E15" s="8" t="n">
        <v>0</v>
      </c>
      <c r="F15" s="7" t="n">
        <v>0</v>
      </c>
      <c r="G15" s="8" t="n">
        <v>0</v>
      </c>
      <c r="H15" s="7">
        <f>B15+D15+F15</f>
        <v/>
      </c>
      <c r="I15" s="8">
        <f>C15+E15+G15</f>
        <v/>
      </c>
    </row>
    <row r="16">
      <c r="A16" s="9" t="inlineStr">
        <is>
          <t>item_category 分类</t>
        </is>
      </c>
      <c r="B16" s="10" t="n">
        <v>4432</v>
      </c>
      <c r="C16" s="11" t="n">
        <v>0.4</v>
      </c>
      <c r="D16" s="10" t="n">
        <v>0</v>
      </c>
      <c r="E16" s="11" t="n">
        <v>0</v>
      </c>
      <c r="F16" s="10" t="n">
        <v>0</v>
      </c>
      <c r="G16" s="11" t="n">
        <v>0</v>
      </c>
      <c r="H16" s="10">
        <f>B16+D16+F16</f>
        <v/>
      </c>
      <c r="I16" s="11">
        <f>C16+E16+G16</f>
        <v/>
      </c>
    </row>
    <row r="17">
      <c r="A17" s="12" t="inlineStr">
        <is>
          <t>合计</t>
        </is>
      </c>
      <c r="B17" s="13">
        <f>SUM(B5:B16)</f>
        <v/>
      </c>
      <c r="C17" s="14">
        <f>SUM(C5:C16)</f>
        <v/>
      </c>
      <c r="D17" s="13">
        <f>SUM(D5:D16)</f>
        <v/>
      </c>
      <c r="E17" s="14">
        <f>SUM(E5:E16)</f>
        <v/>
      </c>
      <c r="F17" s="13">
        <f>SUM(F5:F16)</f>
        <v/>
      </c>
      <c r="G17" s="14">
        <f>SUM(G5:G16)</f>
        <v/>
      </c>
      <c r="H17" s="13">
        <f>SUM(H5:H16)</f>
        <v/>
      </c>
      <c r="I17" s="14">
        <f>SUM(I5:I16)</f>
        <v/>
      </c>
    </row>
    <row r="19">
      <c r="A19" s="15" t="inlineStr">
        <is>
          <t>类别小计</t>
        </is>
      </c>
    </row>
    <row r="20">
      <c r="A20" s="16" t="inlineStr">
        <is>
          <t>类别</t>
        </is>
      </c>
      <c r="B20" s="16" t="inlineStr">
        <is>
          <t>行数</t>
        </is>
      </c>
      <c r="C20" s="16" t="inlineStr">
        <is>
          <t>压缩后(MB)</t>
        </is>
      </c>
      <c r="D20" s="16" t="inlineStr">
        <is>
          <t>压缩后(GB)</t>
        </is>
      </c>
    </row>
    <row r="21">
      <c r="A21" t="inlineStr">
        <is>
          <t>主表 metadata</t>
        </is>
      </c>
      <c r="B21">
        <f>C17-D17-F17</f>
        <v/>
      </c>
      <c r="C21">
        <f>C17-E17-G17</f>
        <v/>
      </c>
      <c r="D21">
        <f>C21/1024</f>
        <v/>
      </c>
    </row>
    <row r="22">
      <c r="A22" t="inlineStr">
        <is>
          <t>附件 attachment(raw HTML+全文)</t>
        </is>
      </c>
      <c r="B22">
        <f>D17</f>
        <v/>
      </c>
      <c r="C22">
        <f>E17</f>
        <v/>
      </c>
      <c r="D22">
        <f>C22/1024</f>
        <v/>
      </c>
    </row>
    <row r="23">
      <c r="A23" t="inlineStr">
        <is>
          <t>海外 global</t>
        </is>
      </c>
      <c r="B23">
        <f>F17</f>
        <v/>
      </c>
      <c r="C23">
        <f>G17</f>
        <v/>
      </c>
      <c r="D23">
        <f>C23/1024</f>
        <v/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4" customWidth="1" min="4" max="4"/>
    <col width="12" customWidth="1" min="5" max="5"/>
  </cols>
  <sheetData>
    <row r="1">
      <c r="A1" s="17" t="inlineStr">
        <is>
          <t>ods_zbzx 全表明细（39 表）</t>
        </is>
      </c>
    </row>
    <row r="3">
      <c r="A3" s="3" t="inlineStr">
        <is>
          <t>表名</t>
        </is>
      </c>
      <c r="B3" s="4" t="inlineStr">
        <is>
          <t>行数</t>
        </is>
      </c>
      <c r="C3" s="5" t="inlineStr">
        <is>
          <t>压缩后(MB)</t>
        </is>
      </c>
      <c r="D3" s="5" t="inlineStr">
        <is>
          <t>压缩后(GB)</t>
        </is>
      </c>
      <c r="E3" s="16" t="inlineStr">
        <is>
          <t>类型</t>
        </is>
      </c>
    </row>
    <row r="4">
      <c r="A4" s="6" t="inlineStr">
        <is>
          <t>ods_market_analysis_attachment_cn</t>
        </is>
      </c>
      <c r="B4" s="7" t="n">
        <v>24033933</v>
      </c>
      <c r="C4" s="8" t="n">
        <v>501444.2</v>
      </c>
      <c r="D4" s="8">
        <f>C4/1024</f>
        <v/>
      </c>
      <c r="E4" s="18" t="inlineStr">
        <is>
          <t>附件</t>
        </is>
      </c>
    </row>
    <row r="5">
      <c r="A5" s="9" t="inlineStr">
        <is>
          <t>ods_science_literature_attachment</t>
        </is>
      </c>
      <c r="B5" s="10" t="n">
        <v>3456246</v>
      </c>
      <c r="C5" s="11" t="n">
        <v>437217.8</v>
      </c>
      <c r="D5" s="11">
        <f>C5/1024</f>
        <v/>
      </c>
      <c r="E5" s="19" t="inlineStr">
        <is>
          <t>附件</t>
        </is>
      </c>
    </row>
    <row r="6">
      <c r="A6" s="6" t="inlineStr">
        <is>
          <t>ods_company_basic_info</t>
        </is>
      </c>
      <c r="B6" s="7" t="n">
        <v>429510416</v>
      </c>
      <c r="C6" s="8" t="n">
        <v>304622.2</v>
      </c>
      <c r="D6" s="8">
        <f>C6/1024</f>
        <v/>
      </c>
      <c r="E6" s="18" t="inlineStr">
        <is>
          <t>主表</t>
        </is>
      </c>
    </row>
    <row r="7">
      <c r="A7" s="9" t="inlineStr">
        <is>
          <t>ods_strategic_policy_attachment_cn</t>
        </is>
      </c>
      <c r="B7" s="10" t="n">
        <v>3791094</v>
      </c>
      <c r="C7" s="11" t="n">
        <v>72232</v>
      </c>
      <c r="D7" s="11">
        <f>C7/1024</f>
        <v/>
      </c>
      <c r="E7" s="19" t="inlineStr">
        <is>
          <t>附件</t>
        </is>
      </c>
    </row>
    <row r="8">
      <c r="A8" s="6" t="inlineStr">
        <is>
          <t>ods_international_news_attachment</t>
        </is>
      </c>
      <c r="B8" s="7" t="n">
        <v>1544471</v>
      </c>
      <c r="C8" s="8" t="n">
        <v>53580.9</v>
      </c>
      <c r="D8" s="8">
        <f>C8/1024</f>
        <v/>
      </c>
      <c r="E8" s="18" t="inlineStr">
        <is>
          <t>附件</t>
        </is>
      </c>
    </row>
    <row r="9">
      <c r="A9" s="9" t="inlineStr">
        <is>
          <t>ods_invention_patent_cn</t>
        </is>
      </c>
      <c r="B9" s="10" t="n">
        <v>29471747</v>
      </c>
      <c r="C9" s="11" t="n">
        <v>49507.2</v>
      </c>
      <c r="D9" s="11">
        <f>C9/1024</f>
        <v/>
      </c>
      <c r="E9" s="19" t="inlineStr">
        <is>
          <t>主表</t>
        </is>
      </c>
    </row>
    <row r="10">
      <c r="A10" s="6" t="inlineStr">
        <is>
          <t>ods_industry_report_attachment_cn</t>
        </is>
      </c>
      <c r="B10" s="7" t="n">
        <v>804210</v>
      </c>
      <c r="C10" s="8" t="n">
        <v>47151</v>
      </c>
      <c r="D10" s="8">
        <f>C10/1024</f>
        <v/>
      </c>
      <c r="E10" s="18" t="inlineStr">
        <is>
          <t>附件</t>
        </is>
      </c>
    </row>
    <row r="11">
      <c r="A11" s="9" t="inlineStr">
        <is>
          <t>ods_market_analysis_cn</t>
        </is>
      </c>
      <c r="B11" s="10" t="n">
        <v>36377140</v>
      </c>
      <c r="C11" s="11" t="n">
        <v>41960.3</v>
      </c>
      <c r="D11" s="11">
        <f>C11/1024</f>
        <v/>
      </c>
      <c r="E11" s="19" t="inlineStr">
        <is>
          <t>主表</t>
        </is>
      </c>
    </row>
    <row r="12">
      <c r="A12" s="6" t="inlineStr">
        <is>
          <t>ods_science_literature</t>
        </is>
      </c>
      <c r="B12" s="7" t="n">
        <v>6851378</v>
      </c>
      <c r="C12" s="8" t="n">
        <v>23553</v>
      </c>
      <c r="D12" s="8">
        <f>C12/1024</f>
        <v/>
      </c>
      <c r="E12" s="18" t="inlineStr">
        <is>
          <t>主表</t>
        </is>
      </c>
    </row>
    <row r="13">
      <c r="A13" s="9" t="inlineStr">
        <is>
          <t>ods_financial_info_attachment_cn</t>
        </is>
      </c>
      <c r="B13" s="10" t="n">
        <v>881723</v>
      </c>
      <c r="C13" s="11" t="n">
        <v>10688.8</v>
      </c>
      <c r="D13" s="11">
        <f>C13/1024</f>
        <v/>
      </c>
      <c r="E13" s="19" t="inlineStr">
        <is>
          <t>附件</t>
        </is>
      </c>
    </row>
    <row r="14">
      <c r="A14" s="6" t="inlineStr">
        <is>
          <t>ods_invention_patent_attachment_cn</t>
        </is>
      </c>
      <c r="B14" s="7" t="n">
        <v>448311</v>
      </c>
      <c r="C14" s="8" t="n">
        <v>9915.9</v>
      </c>
      <c r="D14" s="8">
        <f>C14/1024</f>
        <v/>
      </c>
      <c r="E14" s="18" t="inlineStr">
        <is>
          <t>附件</t>
        </is>
      </c>
    </row>
    <row r="15">
      <c r="A15" s="9" t="inlineStr">
        <is>
          <t>ods_industry_report_cn</t>
        </is>
      </c>
      <c r="B15" s="10" t="n">
        <v>1902831</v>
      </c>
      <c r="C15" s="11" t="n">
        <v>5942.8</v>
      </c>
      <c r="D15" s="11">
        <f>C15/1024</f>
        <v/>
      </c>
      <c r="E15" s="19" t="inlineStr">
        <is>
          <t>主表</t>
        </is>
      </c>
    </row>
    <row r="16">
      <c r="A16" s="6" t="inlineStr">
        <is>
          <t>ods_international_news</t>
        </is>
      </c>
      <c r="B16" s="7" t="n">
        <v>1835719</v>
      </c>
      <c r="C16" s="8" t="n">
        <v>2577.9</v>
      </c>
      <c r="D16" s="8">
        <f>C16/1024</f>
        <v/>
      </c>
      <c r="E16" s="18" t="inlineStr">
        <is>
          <t>主表</t>
        </is>
      </c>
    </row>
    <row r="17">
      <c r="A17" s="9" t="inlineStr">
        <is>
          <t>ods_strategic_policy_cn</t>
        </is>
      </c>
      <c r="B17" s="10" t="n">
        <v>3814383</v>
      </c>
      <c r="C17" s="11" t="n">
        <v>1543.6</v>
      </c>
      <c r="D17" s="11">
        <f>C17/1024</f>
        <v/>
      </c>
      <c r="E17" s="19" t="inlineStr">
        <is>
          <t>主表</t>
        </is>
      </c>
    </row>
    <row r="18">
      <c r="A18" s="6" t="inlineStr">
        <is>
          <t>ods_financial_info_cn</t>
        </is>
      </c>
      <c r="B18" s="7" t="n">
        <v>881723</v>
      </c>
      <c r="C18" s="8" t="n">
        <v>896.8</v>
      </c>
      <c r="D18" s="8">
        <f>C18/1024</f>
        <v/>
      </c>
      <c r="E18" s="18" t="inlineStr">
        <is>
          <t>主表</t>
        </is>
      </c>
    </row>
    <row r="19">
      <c r="A19" s="9" t="inlineStr">
        <is>
          <t>ods_talent_info_attachment_cn</t>
        </is>
      </c>
      <c r="B19" s="10" t="n">
        <v>11068</v>
      </c>
      <c r="C19" s="11" t="n">
        <v>186.8</v>
      </c>
      <c r="D19" s="11">
        <f>C19/1024</f>
        <v/>
      </c>
      <c r="E19" s="19" t="inlineStr">
        <is>
          <t>附件</t>
        </is>
      </c>
    </row>
    <row r="20">
      <c r="A20" s="6" t="inlineStr">
        <is>
          <t>ods_oversea_company_info</t>
        </is>
      </c>
      <c r="B20" s="7" t="n">
        <v>234919</v>
      </c>
      <c r="C20" s="8" t="n">
        <v>128.2</v>
      </c>
      <c r="D20" s="8">
        <f>C20/1024</f>
        <v/>
      </c>
      <c r="E20" s="18" t="inlineStr">
        <is>
          <t>主表</t>
        </is>
      </c>
    </row>
    <row r="21">
      <c r="A21" s="9" t="inlineStr">
        <is>
          <t>ods_key_events_attachment_cn</t>
        </is>
      </c>
      <c r="B21" s="10" t="n">
        <v>6711</v>
      </c>
      <c r="C21" s="11" t="n">
        <v>125.9</v>
      </c>
      <c r="D21" s="11">
        <f>C21/1024</f>
        <v/>
      </c>
      <c r="E21" s="19" t="inlineStr">
        <is>
          <t>附件</t>
        </is>
      </c>
    </row>
    <row r="22">
      <c r="A22" s="6" t="inlineStr">
        <is>
          <t>ods_talent_info_cn</t>
        </is>
      </c>
      <c r="B22" s="7" t="n">
        <v>11068</v>
      </c>
      <c r="C22" s="8" t="n">
        <v>24.8</v>
      </c>
      <c r="D22" s="8">
        <f>C22/1024</f>
        <v/>
      </c>
      <c r="E22" s="18" t="inlineStr">
        <is>
          <t>主表</t>
        </is>
      </c>
    </row>
    <row r="23">
      <c r="A23" s="9" t="inlineStr">
        <is>
          <t>ods_key_events_cn</t>
        </is>
      </c>
      <c r="B23" s="10" t="n">
        <v>6711</v>
      </c>
      <c r="C23" s="11" t="n">
        <v>7.5</v>
      </c>
      <c r="D23" s="11">
        <f>C23/1024</f>
        <v/>
      </c>
      <c r="E23" s="19" t="inlineStr">
        <is>
          <t>主表</t>
        </is>
      </c>
    </row>
    <row r="24">
      <c r="A24" s="6" t="inlineStr">
        <is>
          <t>ods_item_category</t>
        </is>
      </c>
      <c r="B24" s="7" t="n">
        <v>4432</v>
      </c>
      <c r="C24" s="8" t="n">
        <v>0.4</v>
      </c>
      <c r="D24" s="8">
        <f>C24/1024</f>
        <v/>
      </c>
      <c r="E24" s="18" t="inlineStr">
        <is>
          <t>主表</t>
        </is>
      </c>
    </row>
    <row r="25">
      <c r="A25" s="9" t="inlineStr">
        <is>
          <t>ods_market_analysis_global</t>
        </is>
      </c>
      <c r="B25" s="10" t="n">
        <v>0</v>
      </c>
      <c r="C25" s="11" t="n">
        <v>0</v>
      </c>
      <c r="D25" s="11">
        <f>C25/1024</f>
        <v/>
      </c>
      <c r="E25" s="19" t="inlineStr">
        <is>
          <t>海外(空)</t>
        </is>
      </c>
    </row>
    <row r="26">
      <c r="A26" s="6" t="inlineStr">
        <is>
          <t>ods_science_literature_global</t>
        </is>
      </c>
      <c r="B26" s="7" t="n">
        <v>0</v>
      </c>
      <c r="C26" s="8" t="n">
        <v>0</v>
      </c>
      <c r="D26" s="8">
        <f>C26/1024</f>
        <v/>
      </c>
      <c r="E26" s="18" t="inlineStr">
        <is>
          <t>海外(空)</t>
        </is>
      </c>
    </row>
    <row r="27">
      <c r="A27" s="9" t="inlineStr">
        <is>
          <t>ods_market_analysis_attachment_global</t>
        </is>
      </c>
      <c r="B27" s="10" t="n">
        <v>0</v>
      </c>
      <c r="C27" s="11" t="n">
        <v>0</v>
      </c>
      <c r="D27" s="11">
        <f>C27/1024</f>
        <v/>
      </c>
      <c r="E27" s="19" t="inlineStr">
        <is>
          <t>海外(空)</t>
        </is>
      </c>
    </row>
    <row r="28">
      <c r="A28" s="6" t="inlineStr">
        <is>
          <t>ods_key_events_attachment_global</t>
        </is>
      </c>
      <c r="B28" s="7" t="n">
        <v>0</v>
      </c>
      <c r="C28" s="8" t="n">
        <v>0</v>
      </c>
      <c r="D28" s="8">
        <f>C28/1024</f>
        <v/>
      </c>
      <c r="E28" s="18" t="inlineStr">
        <is>
          <t>海外(空)</t>
        </is>
      </c>
    </row>
    <row r="29">
      <c r="A29" s="9" t="inlineStr">
        <is>
          <t>ods_key_events_global</t>
        </is>
      </c>
      <c r="B29" s="10" t="n">
        <v>0</v>
      </c>
      <c r="C29" s="11" t="n">
        <v>0</v>
      </c>
      <c r="D29" s="11">
        <f>C29/1024</f>
        <v/>
      </c>
      <c r="E29" s="19" t="inlineStr">
        <is>
          <t>海外(空)</t>
        </is>
      </c>
    </row>
    <row r="30">
      <c r="A30" s="6" t="inlineStr">
        <is>
          <t>ods_invention_patent_global</t>
        </is>
      </c>
      <c r="B30" s="7" t="n">
        <v>0</v>
      </c>
      <c r="C30" s="8" t="n">
        <v>0</v>
      </c>
      <c r="D30" s="8">
        <f>C30/1024</f>
        <v/>
      </c>
      <c r="E30" s="18" t="inlineStr">
        <is>
          <t>海外(空)</t>
        </is>
      </c>
    </row>
    <row r="31">
      <c r="A31" s="9" t="inlineStr">
        <is>
          <t>ods_industry_report_attachment_global</t>
        </is>
      </c>
      <c r="B31" s="10" t="n">
        <v>0</v>
      </c>
      <c r="C31" s="11" t="n">
        <v>0</v>
      </c>
      <c r="D31" s="11">
        <f>C31/1024</f>
        <v/>
      </c>
      <c r="E31" s="19" t="inlineStr">
        <is>
          <t>海外(空)</t>
        </is>
      </c>
    </row>
    <row r="32">
      <c r="A32" s="6" t="inlineStr">
        <is>
          <t>ods_strategic_policy_attachment_global</t>
        </is>
      </c>
      <c r="B32" s="7" t="n">
        <v>0</v>
      </c>
      <c r="C32" s="8" t="n">
        <v>0</v>
      </c>
      <c r="D32" s="8">
        <f>C32/1024</f>
        <v/>
      </c>
      <c r="E32" s="18" t="inlineStr">
        <is>
          <t>海外(空)</t>
        </is>
      </c>
    </row>
    <row r="33">
      <c r="A33" s="9" t="inlineStr">
        <is>
          <t>ods_financial_info_attachment_global</t>
        </is>
      </c>
      <c r="B33" s="10" t="n">
        <v>0</v>
      </c>
      <c r="C33" s="11" t="n">
        <v>0</v>
      </c>
      <c r="D33" s="11">
        <f>C33/1024</f>
        <v/>
      </c>
      <c r="E33" s="19" t="inlineStr">
        <is>
          <t>海外(空)</t>
        </is>
      </c>
    </row>
    <row r="34">
      <c r="A34" s="6" t="inlineStr">
        <is>
          <t>ods_international_news_global</t>
        </is>
      </c>
      <c r="B34" s="7" t="n">
        <v>0</v>
      </c>
      <c r="C34" s="8" t="n">
        <v>0</v>
      </c>
      <c r="D34" s="8">
        <f>C34/1024</f>
        <v/>
      </c>
      <c r="E34" s="18" t="inlineStr">
        <is>
          <t>海外(空)</t>
        </is>
      </c>
    </row>
    <row r="35">
      <c r="A35" s="9" t="inlineStr">
        <is>
          <t>ods_financial_info_global</t>
        </is>
      </c>
      <c r="B35" s="10" t="n">
        <v>0</v>
      </c>
      <c r="C35" s="11" t="n">
        <v>0</v>
      </c>
      <c r="D35" s="11">
        <f>C35/1024</f>
        <v/>
      </c>
      <c r="E35" s="19" t="inlineStr">
        <is>
          <t>海外(空)</t>
        </is>
      </c>
    </row>
    <row r="36">
      <c r="A36" s="6" t="inlineStr">
        <is>
          <t>ods_talent_info_attachment_global</t>
        </is>
      </c>
      <c r="B36" s="7" t="n">
        <v>0</v>
      </c>
      <c r="C36" s="8" t="n">
        <v>0</v>
      </c>
      <c r="D36" s="8">
        <f>C36/1024</f>
        <v/>
      </c>
      <c r="E36" s="18" t="inlineStr">
        <is>
          <t>海外(空)</t>
        </is>
      </c>
    </row>
    <row r="37">
      <c r="A37" s="9" t="inlineStr">
        <is>
          <t>ods_science_literature_attachment_global</t>
        </is>
      </c>
      <c r="B37" s="10" t="n">
        <v>0</v>
      </c>
      <c r="C37" s="11" t="n">
        <v>0</v>
      </c>
      <c r="D37" s="11">
        <f>C37/1024</f>
        <v/>
      </c>
      <c r="E37" s="19" t="inlineStr">
        <is>
          <t>海外(空)</t>
        </is>
      </c>
    </row>
    <row r="38">
      <c r="A38" s="6" t="inlineStr">
        <is>
          <t>ods_talent_info_global</t>
        </is>
      </c>
      <c r="B38" s="7" t="n">
        <v>0</v>
      </c>
      <c r="C38" s="8" t="n">
        <v>0</v>
      </c>
      <c r="D38" s="8">
        <f>C38/1024</f>
        <v/>
      </c>
      <c r="E38" s="18" t="inlineStr">
        <is>
          <t>海外(空)</t>
        </is>
      </c>
    </row>
    <row r="39">
      <c r="A39" s="9" t="inlineStr">
        <is>
          <t>ods_industry_report_global</t>
        </is>
      </c>
      <c r="B39" s="10" t="n">
        <v>0</v>
      </c>
      <c r="C39" s="11" t="n">
        <v>0</v>
      </c>
      <c r="D39" s="11">
        <f>C39/1024</f>
        <v/>
      </c>
      <c r="E39" s="19" t="inlineStr">
        <is>
          <t>海外(空)</t>
        </is>
      </c>
    </row>
    <row r="40">
      <c r="A40" s="6" t="inlineStr">
        <is>
          <t>ods_international_news_attachment_global</t>
        </is>
      </c>
      <c r="B40" s="7" t="n">
        <v>0</v>
      </c>
      <c r="C40" s="8" t="n">
        <v>0</v>
      </c>
      <c r="D40" s="8">
        <f>C40/1024</f>
        <v/>
      </c>
      <c r="E40" s="18" t="inlineStr">
        <is>
          <t>海外(空)</t>
        </is>
      </c>
    </row>
    <row r="41">
      <c r="A41" s="9" t="inlineStr">
        <is>
          <t>ods_invention_patent_attachment_global</t>
        </is>
      </c>
      <c r="B41" s="10" t="n">
        <v>0</v>
      </c>
      <c r="C41" s="11" t="n">
        <v>0</v>
      </c>
      <c r="D41" s="11">
        <f>C41/1024</f>
        <v/>
      </c>
      <c r="E41" s="19" t="inlineStr">
        <is>
          <t>海外(空)</t>
        </is>
      </c>
    </row>
    <row r="42">
      <c r="A42" s="6" t="inlineStr">
        <is>
          <t>ods_strategic_policy_global</t>
        </is>
      </c>
      <c r="B42" s="7" t="n">
        <v>0</v>
      </c>
      <c r="C42" s="8" t="n">
        <v>0</v>
      </c>
      <c r="D42" s="8">
        <f>C42/1024</f>
        <v/>
      </c>
      <c r="E42" s="18" t="inlineStr">
        <is>
          <t>海外(空)</t>
        </is>
      </c>
    </row>
    <row r="43">
      <c r="A43" s="12" t="inlineStr">
        <is>
          <t>合计</t>
        </is>
      </c>
      <c r="B43" s="13">
        <f>SUM(B4:B42)</f>
        <v/>
      </c>
      <c r="C43" s="14">
        <f>SUM(C4:C42)</f>
        <v/>
      </c>
      <c r="D43" s="14">
        <f>C43/1024</f>
        <v/>
      </c>
      <c r="E43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2026-06-16T12:26:51Z</dcterms:created>
  <dcterms:modified xmlns:dcterms="http://purl.org/dc/terms/" xmlns:xsi="http://www.w3.org/2001/XMLSchema-instance" xsi:type="dcterms:W3CDTF">2026-06-16T12:26:51Z</dcterms:modified>
</cp:coreProperties>
</file>